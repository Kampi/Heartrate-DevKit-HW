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sts" sheetId="3" r:id="rId3"/>
    <sheet name="Costs (DNF)" sheetId="4" r:id="rId4"/>
    <sheet name="Colors" sheetId="5" r:id="rId5"/>
  </sheets>
  <definedNames>
    <definedName name="BoardQty" localSheetId="3">'Costs (DNF)'!$G$2</definedName>
    <definedName name="BoardQty" localSheetId="2">'Costs'!$H$2</definedName>
    <definedName name="_xlnm.Print_Titles" localSheetId="0">BoM!$9:$9</definedName>
    <definedName name="_xlnm.Print_Titles" localSheetId="1">DNF!$9:$9</definedName>
    <definedName name="PURCHASE_DESCRIPTION" localSheetId="3">'Costs (DNF)'!$G$15</definedName>
    <definedName name="PURCHASE_DESCRIPTION" localSheetId="2">'Costs'!$H$42</definedName>
    <definedName name="TotalCost" localSheetId="3">'Costs (DNF)'!$G$4</definedName>
    <definedName name="TotalCost" localSheetId="2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1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1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2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M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I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J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K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M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F14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I14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F15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<sst xmlns="http://schemas.openxmlformats.org/spreadsheetml/2006/main" count="596" uniqueCount="257">
  <si>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</si>
  <si>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</si>
  <si>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</si>
  <si>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</si>
  <si>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</si>
  <si>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</si>
  <si>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</si>
  <si>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</si>
  <si>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</si>
  <si>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</si>
  <si>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</si>
  <si>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C406 C414 C415 C416</t>
  </si>
  <si>
    <t>100n</t>
  </si>
  <si>
    <t>https://www.yageogroup.com/content/datasheet/asset/file/KEM_C1002_X7R_SMD</t>
  </si>
  <si>
    <t>C_0402_1005Metric</t>
  </si>
  <si>
    <t>Unpolarized capacitor, small symbol</t>
  </si>
  <si>
    <t>KEMET</t>
  </si>
  <si>
    <t>C0402C104K4RAC7411</t>
  </si>
  <si>
    <t>2</t>
  </si>
  <si>
    <t>C402 C404</t>
  </si>
  <si>
    <t>1u</t>
  </si>
  <si>
    <t>https://www.mouser.de/datasheet/2/40/cx5r-2835979.pdf</t>
  </si>
  <si>
    <t>C_0603_1608Metric</t>
  </si>
  <si>
    <t>KYOCERA AVX</t>
  </si>
  <si>
    <t>06035C105MAT2A</t>
  </si>
  <si>
    <t>3</t>
  </si>
  <si>
    <t>C408 C409 C410 C413</t>
  </si>
  <si>
    <t>04023D105KAT2A</t>
  </si>
  <si>
    <t>C401</t>
  </si>
  <si>
    <t>2u2</t>
  </si>
  <si>
    <t>06033D225MAT2A</t>
  </si>
  <si>
    <t>5</t>
  </si>
  <si>
    <t>C403 C405 C407</t>
  </si>
  <si>
    <t>4u7</t>
  </si>
  <si>
    <t>https://www.mouser.de/datasheet/2/396/mlcc02_e-1307760.pdf</t>
  </si>
  <si>
    <t>TAIYO YUDEN</t>
  </si>
  <si>
    <t>LMK107BJ475KA-T</t>
  </si>
  <si>
    <t>6</t>
  </si>
  <si>
    <t>C411 C412</t>
  </si>
  <si>
    <t>10u</t>
  </si>
  <si>
    <t>AMK105CBJ106MV-F</t>
  </si>
  <si>
    <t>7</t>
  </si>
  <si>
    <t>C417</t>
  </si>
  <si>
    <t>22u</t>
  </si>
  <si>
    <t>https://www.mouser.de/datasheet/2/396/Taiyo_Yuden_2_8_2024_MEASJ063BB5225MF1A01_SS__1_-3395906.pdf</t>
  </si>
  <si>
    <t>MEASP105CC6226MF1A01</t>
  </si>
  <si>
    <t>8</t>
  </si>
  <si>
    <t>D401</t>
  </si>
  <si>
    <t>STATUS</t>
  </si>
  <si>
    <t>https://www.mouser.de/datasheet/2/678/hsmq_c170_t0000_ds100-2498198.pdf</t>
  </si>
  <si>
    <t>LED_0805_2012Metric_Pad1.15x1.40mm_HandSolder</t>
  </si>
  <si>
    <t>Light emitting diode</t>
  </si>
  <si>
    <t>Broadcom / Avago</t>
  </si>
  <si>
    <t>HSMQ-C170-T0000</t>
  </si>
  <si>
    <t>9</t>
  </si>
  <si>
    <t>D402 D403</t>
  </si>
  <si>
    <t>VEMD8082</t>
  </si>
  <si>
    <t>https://www.vishay.com/docs/80381/vemd8082.pdf</t>
  </si>
  <si>
    <t>VEMD808x</t>
  </si>
  <si>
    <t>Photodiode</t>
  </si>
  <si>
    <t>Vishay Semiconductors</t>
  </si>
  <si>
    <t>10</t>
  </si>
  <si>
    <t>IC406</t>
  </si>
  <si>
    <t>LIS2DS12</t>
  </si>
  <si>
    <t>https://www.st.com/resource/en/datasheet/lis2ds12.pdf</t>
  </si>
  <si>
    <t>LGA-12_2x2mm_P0.5mm</t>
  </si>
  <si>
    <t/>
  </si>
  <si>
    <t>STMicroelectronics</t>
  </si>
  <si>
    <t>11</t>
  </si>
  <si>
    <t>IC404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</si>
  <si>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</si>
  <si>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</si>
  <si>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</si>
  <si>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</si>
  <si>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</si>
  <si>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</si>
  <si>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IC405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</si>
  <si>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</si>
  <si>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</si>
  <si>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</si>
  <si>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</si>
  <si>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</si>
  <si>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IC403</t>
  </si>
  <si>
    <t>MCP73832-2-OT</t>
  </si>
  <si>
    <t>http://ww1.microchip.com/downloads/en/DeviceDoc/20001984g.pdf</t>
  </si>
  <si>
    <t>SOT-23-5</t>
  </si>
  <si>
    <t>Single cell, Li-Ion/Li-Po charge management controller, 4.20V, Open-Drain Status Output, in SOT23-5 package</t>
  </si>
  <si>
    <t>Microchip Technology / Atmel</t>
  </si>
  <si>
    <t>MCP73832T-2ACI/OT</t>
  </si>
  <si>
    <t>14</t>
  </si>
  <si>
    <t>IC401</t>
  </si>
  <si>
    <t>MIC5365-1.8</t>
  </si>
  <si>
    <t>https://ww1.microchip.com/downloads/en/DeviceDoc/mic5365.pdf</t>
  </si>
  <si>
    <t>Microchip Technology</t>
  </si>
  <si>
    <t>MIC5365-1.8YD5-TR</t>
  </si>
  <si>
    <t>15</t>
  </si>
  <si>
    <t>IC402</t>
  </si>
  <si>
    <t>TPS61240</t>
  </si>
  <si>
    <t>https://www.ti.com/lit/ds/symlink/tps61240.pdf?ts=1729943439201&amp;ref_url=https%253A%252F%252Fwww.mouser.de%252F</t>
  </si>
  <si>
    <t>DSBGA-6_0.886x1.288mm_2x3_P0.4mm</t>
  </si>
  <si>
    <t>Texas Instruments</t>
  </si>
  <si>
    <t>TPS61240YFFR</t>
  </si>
  <si>
    <t>16</t>
  </si>
  <si>
    <t>L401</t>
  </si>
  <si>
    <t>https://www.mouser.de/datasheet/2/3/ASMCI_0603-3318216.pdf</t>
  </si>
  <si>
    <t>L_0603_1608Metric</t>
  </si>
  <si>
    <t>Inductor</t>
  </si>
  <si>
    <t>ABRACON</t>
  </si>
  <si>
    <t>ASMCI-0603-1R0M-T</t>
  </si>
  <si>
    <t>17</t>
  </si>
  <si>
    <t>LED401</t>
  </si>
  <si>
    <t>SFH7016</t>
  </si>
  <si>
    <t>https://look.ams-osram.com/m/1a73f8d425cfcc40/original/SFH-7016.pdf</t>
  </si>
  <si>
    <t>ams OSRAM</t>
  </si>
  <si>
    <t>SFH 7016</t>
  </si>
  <si>
    <t>18</t>
  </si>
  <si>
    <t>M401</t>
  </si>
  <si>
    <t>BM15C</t>
  </si>
  <si>
    <t>https://www.mouser.de/datasheet/2/915/BM15C_2bProduct_2bSpecifications-3555318.pdf</t>
  </si>
  <si>
    <t>nRF54L module with chip antenna</t>
  </si>
  <si>
    <t>Fanstel</t>
  </si>
  <si>
    <t>19</t>
  </si>
  <si>
    <t>Q401</t>
  </si>
  <si>
    <t>BSS138</t>
  </si>
  <si>
    <t>https://www.onsemi.com/pub/Collateral/BSS138-D.PDF</t>
  </si>
  <si>
    <t>SOT-23</t>
  </si>
  <si>
    <t>50V Vds, 0.22A Id, N-Channel MOSFET, SOT-23</t>
  </si>
  <si>
    <t>onsemi / Fairchild</t>
  </si>
  <si>
    <t>20</t>
  </si>
  <si>
    <t>R403</t>
  </si>
  <si>
    <t>0R</t>
  </si>
  <si>
    <t>~</t>
  </si>
  <si>
    <t>R_0805_2012Metric</t>
  </si>
  <si>
    <t>Resistor, small symbol</t>
  </si>
  <si>
    <t>Vishay</t>
  </si>
  <si>
    <t>CRCW08050000Z0EBC</t>
  </si>
  <si>
    <t>21</t>
  </si>
  <si>
    <t>R401</t>
  </si>
  <si>
    <t>220R</t>
  </si>
  <si>
    <t>R_0402_1005Metric</t>
  </si>
  <si>
    <t>Bourns</t>
  </si>
  <si>
    <t>CR0402-JW-221GLF</t>
  </si>
  <si>
    <t>22</t>
  </si>
  <si>
    <t>R409</t>
  </si>
  <si>
    <t>4k7</t>
  </si>
  <si>
    <t>YAGEO</t>
  </si>
  <si>
    <t>RC0402FR-7D4K7L</t>
  </si>
  <si>
    <t>23</t>
  </si>
  <si>
    <t>R404 R405</t>
  </si>
  <si>
    <t>5k1</t>
  </si>
  <si>
    <t>CR0402-FX-5101GLF</t>
  </si>
  <si>
    <t>24</t>
  </si>
  <si>
    <t>R402 R406 R407 R408</t>
  </si>
  <si>
    <t>10k</t>
  </si>
  <si>
    <t>CR0402-JW-103GLF</t>
  </si>
  <si>
    <t>25</t>
  </si>
  <si>
    <t>SW402</t>
  </si>
  <si>
    <t>BTN1</t>
  </si>
  <si>
    <t>https://www.we-online.com/components/products/datasheet/430182095816.pdf</t>
  </si>
  <si>
    <t>WS-TASV-6x6</t>
  </si>
  <si>
    <t>Double Pole Single Throw (DPST) Switch</t>
  </si>
  <si>
    <t>Wurth Elektronik</t>
  </si>
  <si>
    <t>430182095816</t>
  </si>
  <si>
    <t>26</t>
  </si>
  <si>
    <t>SW401</t>
  </si>
  <si>
    <t>RESET</t>
  </si>
  <si>
    <t>27</t>
  </si>
  <si>
    <t>X402</t>
  </si>
  <si>
    <t>BATTERY</t>
  </si>
  <si>
    <t>https://www.molex.com/en-us/products/part-detail-pdf/781710002?display=pdf</t>
  </si>
  <si>
    <t>78171-0002</t>
  </si>
  <si>
    <t>Generic connector, single row, 01x02, script generated (kicad-library-utils/schlib/autogen/connector/)</t>
  </si>
  <si>
    <t>Molex</t>
  </si>
  <si>
    <t>28</t>
  </si>
  <si>
    <t>X401</t>
  </si>
  <si>
    <t>CHARGE</t>
  </si>
  <si>
    <t>https://www.usb.org/sites/default/files/documents/usb_type-c.zip</t>
  </si>
  <si>
    <t>USB_C_Receptacle_GCT_USB4105-xx-A_16P_TopMnt_Horizontal</t>
  </si>
  <si>
    <t>USB 2.0-only 14P Type-C Receptacle connector</t>
  </si>
  <si>
    <t>GCT</t>
  </si>
  <si>
    <t>USB4105-GF-A-120</t>
  </si>
  <si>
    <t>29</t>
  </si>
  <si>
    <t>X403</t>
  </si>
  <si>
    <t>DEBUG</t>
  </si>
  <si>
    <t>http://infocenter.arm.com/help/topic/com.arm.doc.ddi0314h/DDI0314H_coresight_components_trm.pdf</t>
  </si>
  <si>
    <t>PinHeader_2x05_P1.27mm_Vertical</t>
  </si>
  <si>
    <t>Cortex Debug Connector, standard ARM Cortex-M SWD and JTAG interface</t>
  </si>
  <si>
    <t>623310235521</t>
  </si>
  <si>
    <t>30</t>
  </si>
  <si>
    <t>Y401</t>
  </si>
  <si>
    <t>32kHz</t>
  </si>
  <si>
    <t>https://www.mouser.de/datasheet/2/122/ECX_1210-2400578.pdf</t>
  </si>
  <si>
    <t>ECS_ECX-1210</t>
  </si>
  <si>
    <t>Two pin crystal</t>
  </si>
  <si>
    <t>ECS</t>
  </si>
  <si>
    <t>ECS-.327-6-1210-TR</t>
  </si>
  <si>
    <t>Bill of Materials</t>
  </si>
  <si>
    <t>Schematic:</t>
  </si>
  <si>
    <t>ZSWatch-Heartrate-DevKit</t>
  </si>
  <si>
    <t>Variant:</t>
  </si>
  <si>
    <t>CHECKED</t>
  </si>
  <si>
    <t>Revision:</t>
  </si>
  <si>
    <t>Date:</t>
  </si>
  <si>
    <t>2025-07-13</t>
  </si>
  <si>
    <t>KiCad Version:</t>
  </si>
  <si>
    <t>9.0.1+1</t>
  </si>
  <si>
    <t>Component Groups:</t>
  </si>
  <si>
    <t>Component Count:</t>
  </si>
  <si>
    <t>48 (45 SMD/ 3 THT)</t>
  </si>
  <si>
    <t>Fitted Components:</t>
  </si>
  <si>
    <t>45 (44 SMD/ 1 THT)</t>
  </si>
  <si>
    <t>Number of PCBs:</t>
  </si>
  <si>
    <t>Total Components:</t>
  </si>
  <si>
    <t>J401</t>
  </si>
  <si>
    <t>I2C</t>
  </si>
  <si>
    <t>PinHeader_1x04_P2.54mm_Vertical</t>
  </si>
  <si>
    <t>Generic connector, single row, 01x04, script generated (kicad-library-utils/schlib/autogen/connector/)</t>
  </si>
  <si>
    <t>J402</t>
  </si>
  <si>
    <t>SPI</t>
  </si>
  <si>
    <t>PinHeader_1x07_P2.54mm_Vertical</t>
  </si>
  <si>
    <t>Generic connector, single row, 01x07, script generated (kicad-library-utils/schlib/autogen/connector/)</t>
  </si>
  <si>
    <t>R410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</si>
  <si>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</si>
  <si>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</si>
  <si>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</si>
  <si>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</si>
  <si>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</si>
  <si>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</si>
  <si>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</si>
  <si>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</si>
  <si>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</si>
  <si>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</si>
  <si>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</si>
  <si>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</si>
  <si>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</si>
  <si>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</si>
  <si>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</si>
  <si>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</si>
  <si>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</si>
  <si>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</si>
  <si>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2025-09-06 09:58:40</t>
  </si>
  <si>
    <t>KiCost® v1.1.20 + KiBot v1.8.4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</si>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</sst>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4" formatCode="$#,##0.00"/>
    <numFmt numFmtId="165" formatCode="$#,##0.000"/>
    <numFmt numFmtId="164" formatCode="$#,##0.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ageogroup.com/content/datasheet/asset/file/KEM_C1002_X7R_SMD" TargetMode="External"/><Relationship Id="rId2" Type="http://schemas.openxmlformats.org/officeDocument/2006/relationships/hyperlink" Target="https://www.mouser.de/datasheet/2/40/cx5r-2835979.pdf" TargetMode="External"/><Relationship Id="rId3" Type="http://schemas.openxmlformats.org/officeDocument/2006/relationships/hyperlink" Target="https://www.mouser.de/datasheet/2/40/cx5r-2835979.pdf" TargetMode="External"/><Relationship Id="rId4" Type="http://schemas.openxmlformats.org/officeDocument/2006/relationships/hyperlink" Target="https://www.mouser.de/datasheet/2/40/cx5r-2835979.pdf" TargetMode="External"/><Relationship Id="rId5" Type="http://schemas.openxmlformats.org/officeDocument/2006/relationships/hyperlink" Target="https://www.mouser.de/datasheet/2/396/mlcc02_e-1307760.pdf" TargetMode="External"/><Relationship Id="rId6" Type="http://schemas.openxmlformats.org/officeDocument/2006/relationships/hyperlink" Target="https://www.mouser.de/datasheet/2/396/mlcc02_e-1307760.pdf" TargetMode="External"/><Relationship Id="rId7" Type="http://schemas.openxmlformats.org/officeDocument/2006/relationships/hyperlink" Target="https://www.mouser.de/datasheet/2/396/Taiyo_Yuden_2_8_2024_MEASJ063BB5225MF1A01_SS__1_-3395906.pdf" TargetMode="External"/><Relationship Id="rId8" Type="http://schemas.openxmlformats.org/officeDocument/2006/relationships/hyperlink" Target="https://www.mouser.de/datasheet/2/678/hsmq_c170_t0000_ds100-2498198.pdf" TargetMode="External"/><Relationship Id="rId9" Type="http://schemas.openxmlformats.org/officeDocument/2006/relationships/hyperlink" Target="https://www.vishay.com/docs/80381/vemd8082.pdf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://ww1.microchip.com/downloads/en/DeviceDoc/20001984g.pdf" TargetMode="External"/><Relationship Id="rId14" Type="http://schemas.openxmlformats.org/officeDocument/2006/relationships/hyperlink" Target="https://ww1.microchip.com/downloads/en/DeviceDoc/mic5365.pdf" TargetMode="External"/><Relationship Id="rId15" Type="http://schemas.openxmlformats.org/officeDocument/2006/relationships/hyperlink" Target="https://www.ti.com/lit/ds/symlink/tps61240.pdf?ts=1729943439201&amp;ref_url=https%253A%252F%252Fwww.mouser.de%252F" TargetMode="External"/><Relationship Id="rId16" Type="http://schemas.openxmlformats.org/officeDocument/2006/relationships/hyperlink" Target="https://www.mouser.de/datasheet/2/3/ASMCI_0603-3318216.pdf" TargetMode="External"/><Relationship Id="rId17" Type="http://schemas.openxmlformats.org/officeDocument/2006/relationships/hyperlink" Target="https://look.ams-osram.com/m/1a73f8d425cfcc40/original/SFH-7016.pdf" TargetMode="External"/><Relationship Id="rId18" Type="http://schemas.openxmlformats.org/officeDocument/2006/relationships/hyperlink" Target="https://www.mouser.de/datasheet/2/915/BM15C_2bProduct_2bSpecifications-3555318.pdf" TargetMode="External"/><Relationship Id="rId19" Type="http://schemas.openxmlformats.org/officeDocument/2006/relationships/hyperlink" Target="https://www.onsemi.com/pub/Collateral/BSS138-D.PDF" TargetMode="External"/><Relationship Id="rId20" Type="http://schemas.openxmlformats.org/officeDocument/2006/relationships/hyperlink" Target="https://www.we-online.com/components/products/datasheet/430182095816.pdf" TargetMode="External"/><Relationship Id="rId21" Type="http://schemas.openxmlformats.org/officeDocument/2006/relationships/hyperlink" Target="https://www.we-online.com/components/products/datasheet/430182095816.pdf" TargetMode="External"/><Relationship Id="rId22" Type="http://schemas.openxmlformats.org/officeDocument/2006/relationships/hyperlink" Target="https://www.molex.com/en-us/products/part-detail-pdf/781710002?display=pdf" TargetMode="External"/><Relationship Id="rId23" Type="http://schemas.openxmlformats.org/officeDocument/2006/relationships/hyperlink" Target="https://www.usb.org/sites/default/files/documents/usb_type-c.zip" TargetMode="External"/><Relationship Id="rId24" Type="http://schemas.openxmlformats.org/officeDocument/2006/relationships/hyperlink" Target="http://infocenter.arm.com/help/topic/com.arm.doc.ddi0314h/DDI0314H_coresight_components_trm.pdf" TargetMode="External"/><Relationship Id="rId25" Type="http://schemas.openxmlformats.org/officeDocument/2006/relationships/hyperlink" Target="https://www.mouser.de/datasheet/2/122/ECX_1210-2400578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ageogroup.com/content/datasheet/asset/file/KEM_C1002_X7R_SMD" TargetMode="External"/><Relationship Id="rId2" Type="http://schemas.openxmlformats.org/officeDocument/2006/relationships/hyperlink" Target="https://www.mouser.de/datasheet/2/40/cx5r-2835979.pdf" TargetMode="External"/><Relationship Id="rId3" Type="http://schemas.openxmlformats.org/officeDocument/2006/relationships/hyperlink" Target="https://www.mouser.de/datasheet/2/40/cx5r-2835979.pdf" TargetMode="External"/><Relationship Id="rId4" Type="http://schemas.openxmlformats.org/officeDocument/2006/relationships/hyperlink" Target="https://www.mouser.de/datasheet/2/40/cx5r-2835979.pdf" TargetMode="External"/><Relationship Id="rId5" Type="http://schemas.openxmlformats.org/officeDocument/2006/relationships/hyperlink" Target="https://www.mouser.de/datasheet/2/396/mlcc02_e-1307760.pdf" TargetMode="External"/><Relationship Id="rId6" Type="http://schemas.openxmlformats.org/officeDocument/2006/relationships/hyperlink" Target="https://www.mouser.de/datasheet/2/396/mlcc02_e-1307760.pdf" TargetMode="External"/><Relationship Id="rId7" Type="http://schemas.openxmlformats.org/officeDocument/2006/relationships/hyperlink" Target="https://www.mouser.de/datasheet/2/396/Taiyo_Yuden_2_8_2024_MEASJ063BB5225MF1A01_SS__1_-3395906.pdf" TargetMode="External"/><Relationship Id="rId8" Type="http://schemas.openxmlformats.org/officeDocument/2006/relationships/hyperlink" Target="https://www.mouser.de/datasheet/2/678/hsmq_c170_t0000_ds100-2498198.pdf" TargetMode="External"/><Relationship Id="rId9" Type="http://schemas.openxmlformats.org/officeDocument/2006/relationships/hyperlink" Target="https://www.vishay.com/docs/80381/vemd8082.pdf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://ww1.microchip.com/downloads/en/DeviceDoc/20001984g.pdf" TargetMode="External"/><Relationship Id="rId14" Type="http://schemas.openxmlformats.org/officeDocument/2006/relationships/hyperlink" Target="https://ww1.microchip.com/downloads/en/DeviceDoc/mic5365.pdf" TargetMode="External"/><Relationship Id="rId15" Type="http://schemas.openxmlformats.org/officeDocument/2006/relationships/hyperlink" Target="https://www.ti.com/lit/ds/symlink/tps61240.pdf?ts=1729943439201&amp;ref_url=https%253A%252F%252Fwww.mouser.de%252F" TargetMode="External"/><Relationship Id="rId16" Type="http://schemas.openxmlformats.org/officeDocument/2006/relationships/hyperlink" Target="https://www.mouser.de/datasheet/2/3/ASMCI_0603-3318216.pdf" TargetMode="External"/><Relationship Id="rId17" Type="http://schemas.openxmlformats.org/officeDocument/2006/relationships/hyperlink" Target="https://look.ams-osram.com/m/1a73f8d425cfcc40/original/SFH-7016.pdf" TargetMode="External"/><Relationship Id="rId18" Type="http://schemas.openxmlformats.org/officeDocument/2006/relationships/hyperlink" Target="https://www.mouser.de/datasheet/2/915/BM15C_2bProduct_2bSpecifications-3555318.pdf" TargetMode="External"/><Relationship Id="rId19" Type="http://schemas.openxmlformats.org/officeDocument/2006/relationships/hyperlink" Target="https://www.onsemi.com/pub/Collateral/BSS138-D.PDF" TargetMode="External"/><Relationship Id="rId20" Type="http://schemas.openxmlformats.org/officeDocument/2006/relationships/hyperlink" Target="https://www.we-online.com/components/products/datasheet/430182095816.pdf" TargetMode="External"/><Relationship Id="rId21" Type="http://schemas.openxmlformats.org/officeDocument/2006/relationships/hyperlink" Target="https://www.we-online.com/components/products/datasheet/430182095816.pdf" TargetMode="External"/><Relationship Id="rId22" Type="http://schemas.openxmlformats.org/officeDocument/2006/relationships/hyperlink" Target="https://www.molex.com/en-us/products/part-detail-pdf/781710002?display=pdf" TargetMode="External"/><Relationship Id="rId23" Type="http://schemas.openxmlformats.org/officeDocument/2006/relationships/hyperlink" Target="https://www.usb.org/sites/default/files/documents/usb_type-c.zip" TargetMode="External"/><Relationship Id="rId24" Type="http://schemas.openxmlformats.org/officeDocument/2006/relationships/hyperlink" Target="http://infocenter.arm.com/help/topic/com.arm.doc.ddi0314h/DDI0314H_coresight_components_trm.pdf" TargetMode="External"/><Relationship Id="rId25" Type="http://schemas.openxmlformats.org/officeDocument/2006/relationships/hyperlink" Target="https://www.mouser.de/datasheet/2/122/ECX_1210-2400578.pdf" TargetMode="External"/><Relationship Id="rId26" Type="http://schemas.openxmlformats.org/officeDocument/2006/relationships/hyperlink" Target="https://mouser.com/bom/" TargetMode="External"/><Relationship Id="rId27" Type="http://schemas.openxmlformats.org/officeDocument/2006/relationships/vmlDrawing" Target="../drawings/vmlDrawing1.vml"/><Relationship Id="rId28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ouser.com/bom/" TargetMode="Externa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4.7109375" customWidth="1"/>
    <col min="4" max="4" width="18.7109375" customWidth="1"/>
    <col min="5" max="5" width="60.7109375" customWidth="1"/>
    <col min="6" max="6" width="60.7109375" customWidth="1"/>
    <col min="7" max="7" width="60.7109375" customWidth="1"/>
    <col min="8" max="8" width="38.7109375" customWidth="1"/>
    <col min="9" max="9" width="25.7109375" customWidth="1"/>
  </cols>
  <sheetData>
    <row r="1" spans="1:9" ht="32" customHeight="1">
      <c r="A1" s="1" t="s">
        <v>196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197</v>
      </c>
      <c r="B2" s="3" t="s">
        <v>198</v>
      </c>
      <c r="C2" s="2" t="s">
        <v>206</v>
      </c>
      <c r="D2" s="3">
        <v>33</v>
      </c>
    </row>
    <row r="3" spans="1:9">
      <c r="A3" s="2" t="s">
        <v>199</v>
      </c>
      <c r="B3" s="3" t="s">
        <v>200</v>
      </c>
      <c r="C3" s="2" t="s">
        <v>207</v>
      </c>
      <c r="D3" s="3" t="s">
        <v>208</v>
      </c>
    </row>
    <row r="4" spans="1:9">
      <c r="A4" s="2" t="s">
        <v>201</v>
      </c>
      <c r="B4" s="3" t="s">
        <v>66</v>
      </c>
      <c r="C4" s="2" t="s">
        <v>209</v>
      </c>
      <c r="D4" s="3" t="s">
        <v>210</v>
      </c>
    </row>
    <row r="5" spans="1:9">
      <c r="A5" s="2" t="s">
        <v>202</v>
      </c>
      <c r="B5" s="3" t="s">
        <v>203</v>
      </c>
      <c r="C5" s="2" t="s">
        <v>211</v>
      </c>
      <c r="D5" s="3">
        <v>1</v>
      </c>
    </row>
    <row r="6" spans="1:9">
      <c r="A6" s="2" t="s">
        <v>204</v>
      </c>
      <c r="B6" s="3" t="s">
        <v>205</v>
      </c>
      <c r="C6" s="2" t="s">
        <v>212</v>
      </c>
      <c r="D6" s="3">
        <v>45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18</v>
      </c>
      <c r="C10" s="9" t="s">
        <v>19</v>
      </c>
      <c r="D10" s="9" t="s">
        <v>20</v>
      </c>
      <c r="E10" s="9" t="s">
        <v>21</v>
      </c>
      <c r="F10" s="9" t="s">
        <v>22</v>
      </c>
      <c r="G10" s="10" t="s">
        <v>15</v>
      </c>
      <c r="H10" s="10" t="s">
        <v>23</v>
      </c>
      <c r="I10" s="10" t="s">
        <v>24</v>
      </c>
    </row>
    <row r="11" spans="1:9">
      <c r="A11" s="5" t="s">
        <v>25</v>
      </c>
      <c r="B11" s="5" t="s">
        <v>10</v>
      </c>
      <c r="C11" s="6" t="s">
        <v>26</v>
      </c>
      <c r="D11" s="6" t="s">
        <v>20</v>
      </c>
      <c r="E11" s="6" t="s">
        <v>21</v>
      </c>
      <c r="F11" s="6" t="s">
        <v>14</v>
      </c>
      <c r="G11" s="7" t="s">
        <v>15</v>
      </c>
      <c r="H11" s="7" t="s">
        <v>23</v>
      </c>
      <c r="I11" s="7" t="s">
        <v>27</v>
      </c>
    </row>
    <row r="12" spans="1:9">
      <c r="A12" s="8" t="s">
        <v>10</v>
      </c>
      <c r="B12" s="8" t="s">
        <v>9</v>
      </c>
      <c r="C12" s="9" t="s">
        <v>28</v>
      </c>
      <c r="D12" s="9" t="s">
        <v>29</v>
      </c>
      <c r="E12" s="9" t="s">
        <v>21</v>
      </c>
      <c r="F12" s="9" t="s">
        <v>22</v>
      </c>
      <c r="G12" s="10" t="s">
        <v>15</v>
      </c>
      <c r="H12" s="10" t="s">
        <v>23</v>
      </c>
      <c r="I12" s="10" t="s">
        <v>30</v>
      </c>
    </row>
    <row r="13" spans="1:9">
      <c r="A13" s="5" t="s">
        <v>31</v>
      </c>
      <c r="B13" s="5" t="s">
        <v>25</v>
      </c>
      <c r="C13" s="6" t="s">
        <v>32</v>
      </c>
      <c r="D13" s="6" t="s">
        <v>33</v>
      </c>
      <c r="E13" s="6" t="s">
        <v>34</v>
      </c>
      <c r="F13" s="6" t="s">
        <v>22</v>
      </c>
      <c r="G13" s="7" t="s">
        <v>15</v>
      </c>
      <c r="H13" s="7" t="s">
        <v>35</v>
      </c>
      <c r="I13" s="7" t="s">
        <v>36</v>
      </c>
    </row>
    <row r="14" spans="1:9">
      <c r="A14" s="8" t="s">
        <v>37</v>
      </c>
      <c r="B14" s="8" t="s">
        <v>18</v>
      </c>
      <c r="C14" s="9" t="s">
        <v>38</v>
      </c>
      <c r="D14" s="9" t="s">
        <v>39</v>
      </c>
      <c r="E14" s="9" t="s">
        <v>34</v>
      </c>
      <c r="F14" s="9" t="s">
        <v>14</v>
      </c>
      <c r="G14" s="10" t="s">
        <v>15</v>
      </c>
      <c r="H14" s="10" t="s">
        <v>35</v>
      </c>
      <c r="I14" s="10" t="s">
        <v>40</v>
      </c>
    </row>
    <row r="15" spans="1:9" ht="30" customHeight="1">
      <c r="A15" s="5" t="s">
        <v>41</v>
      </c>
      <c r="B15" s="5" t="s">
        <v>9</v>
      </c>
      <c r="C15" s="6" t="s">
        <v>42</v>
      </c>
      <c r="D15" s="6" t="s">
        <v>43</v>
      </c>
      <c r="E15" s="6" t="s">
        <v>44</v>
      </c>
      <c r="F15" s="6" t="s">
        <v>14</v>
      </c>
      <c r="G15" s="7" t="s">
        <v>15</v>
      </c>
      <c r="H15" s="7" t="s">
        <v>35</v>
      </c>
      <c r="I15" s="7" t="s">
        <v>45</v>
      </c>
    </row>
    <row r="16" spans="1:9" ht="30" customHeight="1">
      <c r="A16" s="8" t="s">
        <v>46</v>
      </c>
      <c r="B16" s="8" t="s">
        <v>9</v>
      </c>
      <c r="C16" s="9" t="s">
        <v>47</v>
      </c>
      <c r="D16" s="9" t="s">
        <v>48</v>
      </c>
      <c r="E16" s="9" t="s">
        <v>49</v>
      </c>
      <c r="F16" s="9" t="s">
        <v>50</v>
      </c>
      <c r="G16" s="10" t="s">
        <v>51</v>
      </c>
      <c r="H16" s="10" t="s">
        <v>52</v>
      </c>
      <c r="I16" s="10" t="s">
        <v>53</v>
      </c>
    </row>
    <row r="17" spans="1:9">
      <c r="A17" s="5" t="s">
        <v>54</v>
      </c>
      <c r="B17" s="5" t="s">
        <v>18</v>
      </c>
      <c r="C17" s="6" t="s">
        <v>55</v>
      </c>
      <c r="D17" s="6" t="s">
        <v>56</v>
      </c>
      <c r="E17" s="6" t="s">
        <v>57</v>
      </c>
      <c r="F17" s="6" t="s">
        <v>58</v>
      </c>
      <c r="G17" s="7" t="s">
        <v>59</v>
      </c>
      <c r="H17" s="7" t="s">
        <v>60</v>
      </c>
      <c r="I17" s="7" t="s">
        <v>56</v>
      </c>
    </row>
    <row r="18" spans="1:9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66</v>
      </c>
      <c r="H18" s="10" t="s">
        <v>67</v>
      </c>
      <c r="I18" s="10" t="s">
        <v>63</v>
      </c>
    </row>
    <row r="19" spans="1:9" ht="30" customHeight="1">
      <c r="A19" s="5" t="s">
        <v>68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2" t="s">
        <v>66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1" t="s">
        <v>66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85</v>
      </c>
      <c r="G21" s="7" t="s">
        <v>86</v>
      </c>
      <c r="H21" s="7" t="s">
        <v>87</v>
      </c>
      <c r="I21" s="7" t="s">
        <v>88</v>
      </c>
    </row>
    <row r="22" spans="1:9">
      <c r="A22" s="8" t="s">
        <v>89</v>
      </c>
      <c r="B22" s="8" t="s">
        <v>9</v>
      </c>
      <c r="C22" s="9" t="s">
        <v>90</v>
      </c>
      <c r="D22" s="9" t="s">
        <v>91</v>
      </c>
      <c r="E22" s="9" t="s">
        <v>92</v>
      </c>
      <c r="F22" s="9" t="s">
        <v>85</v>
      </c>
      <c r="G22" s="11" t="s">
        <v>66</v>
      </c>
      <c r="H22" s="10" t="s">
        <v>93</v>
      </c>
      <c r="I22" s="10" t="s">
        <v>94</v>
      </c>
    </row>
    <row r="23" spans="1:9" ht="30" customHeight="1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12" t="s">
        <v>66</v>
      </c>
      <c r="H23" s="7" t="s">
        <v>100</v>
      </c>
      <c r="I23" s="7" t="s">
        <v>101</v>
      </c>
    </row>
    <row r="24" spans="1:9">
      <c r="A24" s="8" t="s">
        <v>102</v>
      </c>
      <c r="B24" s="8" t="s">
        <v>9</v>
      </c>
      <c r="C24" s="9" t="s">
        <v>103</v>
      </c>
      <c r="D24" s="9" t="s">
        <v>20</v>
      </c>
      <c r="E24" s="9" t="s">
        <v>104</v>
      </c>
      <c r="F24" s="9" t="s">
        <v>105</v>
      </c>
      <c r="G24" s="10" t="s">
        <v>106</v>
      </c>
      <c r="H24" s="10" t="s">
        <v>107</v>
      </c>
      <c r="I24" s="10" t="s">
        <v>108</v>
      </c>
    </row>
    <row r="25" spans="1:9" ht="30" customHeight="1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111</v>
      </c>
      <c r="G25" s="12" t="s">
        <v>66</v>
      </c>
      <c r="H25" s="7" t="s">
        <v>113</v>
      </c>
      <c r="I25" s="7" t="s">
        <v>114</v>
      </c>
    </row>
    <row r="26" spans="1:9" ht="30" customHeight="1">
      <c r="A26" s="8" t="s">
        <v>115</v>
      </c>
      <c r="B26" s="8" t="s">
        <v>9</v>
      </c>
      <c r="C26" s="9" t="s">
        <v>116</v>
      </c>
      <c r="D26" s="9" t="s">
        <v>117</v>
      </c>
      <c r="E26" s="9" t="s">
        <v>118</v>
      </c>
      <c r="F26" s="9" t="s">
        <v>117</v>
      </c>
      <c r="G26" s="10" t="s">
        <v>119</v>
      </c>
      <c r="H26" s="10" t="s">
        <v>120</v>
      </c>
      <c r="I26" s="10" t="s">
        <v>117</v>
      </c>
    </row>
    <row r="27" spans="1:9">
      <c r="A27" s="5" t="s">
        <v>121</v>
      </c>
      <c r="B27" s="5" t="s">
        <v>9</v>
      </c>
      <c r="C27" s="6" t="s">
        <v>122</v>
      </c>
      <c r="D27" s="6" t="s">
        <v>123</v>
      </c>
      <c r="E27" s="6" t="s">
        <v>124</v>
      </c>
      <c r="F27" s="6" t="s">
        <v>125</v>
      </c>
      <c r="G27" s="7" t="s">
        <v>126</v>
      </c>
      <c r="H27" s="7" t="s">
        <v>127</v>
      </c>
      <c r="I27" s="7" t="s">
        <v>123</v>
      </c>
    </row>
    <row r="28" spans="1:9">
      <c r="A28" s="8" t="s">
        <v>128</v>
      </c>
      <c r="B28" s="8" t="s">
        <v>9</v>
      </c>
      <c r="C28" s="9" t="s">
        <v>129</v>
      </c>
      <c r="D28" s="9" t="s">
        <v>130</v>
      </c>
      <c r="E28" s="11" t="s">
        <v>131</v>
      </c>
      <c r="F28" s="9" t="s">
        <v>132</v>
      </c>
      <c r="G28" s="10" t="s">
        <v>133</v>
      </c>
      <c r="H28" s="10" t="s">
        <v>134</v>
      </c>
      <c r="I28" s="10" t="s">
        <v>135</v>
      </c>
    </row>
    <row r="29" spans="1:9">
      <c r="A29" s="5" t="s">
        <v>136</v>
      </c>
      <c r="B29" s="5" t="s">
        <v>9</v>
      </c>
      <c r="C29" s="6" t="s">
        <v>137</v>
      </c>
      <c r="D29" s="6" t="s">
        <v>138</v>
      </c>
      <c r="E29" s="12" t="s">
        <v>131</v>
      </c>
      <c r="F29" s="6" t="s">
        <v>139</v>
      </c>
      <c r="G29" s="7" t="s">
        <v>133</v>
      </c>
      <c r="H29" s="7" t="s">
        <v>140</v>
      </c>
      <c r="I29" s="7" t="s">
        <v>141</v>
      </c>
    </row>
    <row r="30" spans="1:9">
      <c r="A30" s="8" t="s">
        <v>142</v>
      </c>
      <c r="B30" s="8" t="s">
        <v>9</v>
      </c>
      <c r="C30" s="9" t="s">
        <v>143</v>
      </c>
      <c r="D30" s="9" t="s">
        <v>144</v>
      </c>
      <c r="E30" s="11" t="s">
        <v>131</v>
      </c>
      <c r="F30" s="9" t="s">
        <v>139</v>
      </c>
      <c r="G30" s="10" t="s">
        <v>133</v>
      </c>
      <c r="H30" s="10" t="s">
        <v>145</v>
      </c>
      <c r="I30" s="10" t="s">
        <v>146</v>
      </c>
    </row>
    <row r="31" spans="1:9">
      <c r="A31" s="5" t="s">
        <v>147</v>
      </c>
      <c r="B31" s="5" t="s">
        <v>18</v>
      </c>
      <c r="C31" s="6" t="s">
        <v>148</v>
      </c>
      <c r="D31" s="6" t="s">
        <v>149</v>
      </c>
      <c r="E31" s="12" t="s">
        <v>131</v>
      </c>
      <c r="F31" s="6" t="s">
        <v>139</v>
      </c>
      <c r="G31" s="7" t="s">
        <v>133</v>
      </c>
      <c r="H31" s="7" t="s">
        <v>140</v>
      </c>
      <c r="I31" s="7" t="s">
        <v>150</v>
      </c>
    </row>
    <row r="32" spans="1:9">
      <c r="A32" s="8" t="s">
        <v>151</v>
      </c>
      <c r="B32" s="8" t="s">
        <v>10</v>
      </c>
      <c r="C32" s="9" t="s">
        <v>152</v>
      </c>
      <c r="D32" s="9" t="s">
        <v>153</v>
      </c>
      <c r="E32" s="11" t="s">
        <v>131</v>
      </c>
      <c r="F32" s="9" t="s">
        <v>139</v>
      </c>
      <c r="G32" s="10" t="s">
        <v>133</v>
      </c>
      <c r="H32" s="10" t="s">
        <v>140</v>
      </c>
      <c r="I32" s="10" t="s">
        <v>154</v>
      </c>
    </row>
    <row r="33" spans="1:9" ht="30" customHeight="1">
      <c r="A33" s="5" t="s">
        <v>155</v>
      </c>
      <c r="B33" s="5" t="s">
        <v>9</v>
      </c>
      <c r="C33" s="6" t="s">
        <v>156</v>
      </c>
      <c r="D33" s="6" t="s">
        <v>157</v>
      </c>
      <c r="E33" s="6" t="s">
        <v>158</v>
      </c>
      <c r="F33" s="6" t="s">
        <v>159</v>
      </c>
      <c r="G33" s="7" t="s">
        <v>160</v>
      </c>
      <c r="H33" s="7" t="s">
        <v>161</v>
      </c>
      <c r="I33" s="7" t="s">
        <v>162</v>
      </c>
    </row>
    <row r="34" spans="1:9" ht="30" customHeight="1">
      <c r="A34" s="8" t="s">
        <v>163</v>
      </c>
      <c r="B34" s="8" t="s">
        <v>9</v>
      </c>
      <c r="C34" s="9" t="s">
        <v>164</v>
      </c>
      <c r="D34" s="9" t="s">
        <v>165</v>
      </c>
      <c r="E34" s="9" t="s">
        <v>158</v>
      </c>
      <c r="F34" s="9" t="s">
        <v>159</v>
      </c>
      <c r="G34" s="10" t="s">
        <v>160</v>
      </c>
      <c r="H34" s="10" t="s">
        <v>161</v>
      </c>
      <c r="I34" s="10" t="s">
        <v>162</v>
      </c>
    </row>
    <row r="35" spans="1:9" ht="30" customHeight="1">
      <c r="A35" s="5" t="s">
        <v>166</v>
      </c>
      <c r="B35" s="5" t="s">
        <v>9</v>
      </c>
      <c r="C35" s="6" t="s">
        <v>167</v>
      </c>
      <c r="D35" s="6" t="s">
        <v>168</v>
      </c>
      <c r="E35" s="6" t="s">
        <v>169</v>
      </c>
      <c r="F35" s="6" t="s">
        <v>170</v>
      </c>
      <c r="G35" s="7" t="s">
        <v>171</v>
      </c>
      <c r="H35" s="7" t="s">
        <v>172</v>
      </c>
      <c r="I35" s="7" t="s">
        <v>170</v>
      </c>
    </row>
    <row r="36" spans="1:9" ht="30" customHeight="1">
      <c r="A36" s="8" t="s">
        <v>173</v>
      </c>
      <c r="B36" s="8" t="s">
        <v>9</v>
      </c>
      <c r="C36" s="9" t="s">
        <v>174</v>
      </c>
      <c r="D36" s="9" t="s">
        <v>175</v>
      </c>
      <c r="E36" s="9" t="s">
        <v>176</v>
      </c>
      <c r="F36" s="9" t="s">
        <v>177</v>
      </c>
      <c r="G36" s="10" t="s">
        <v>178</v>
      </c>
      <c r="H36" s="10" t="s">
        <v>179</v>
      </c>
      <c r="I36" s="10" t="s">
        <v>180</v>
      </c>
    </row>
    <row r="37" spans="1:9" ht="30" customHeight="1">
      <c r="A37" s="5" t="s">
        <v>181</v>
      </c>
      <c r="B37" s="5" t="s">
        <v>9</v>
      </c>
      <c r="C37" s="6" t="s">
        <v>182</v>
      </c>
      <c r="D37" s="6" t="s">
        <v>183</v>
      </c>
      <c r="E37" s="6" t="s">
        <v>184</v>
      </c>
      <c r="F37" s="6" t="s">
        <v>185</v>
      </c>
      <c r="G37" s="7" t="s">
        <v>186</v>
      </c>
      <c r="H37" s="7" t="s">
        <v>161</v>
      </c>
      <c r="I37" s="7" t="s">
        <v>187</v>
      </c>
    </row>
    <row r="38" spans="1:9">
      <c r="A38" s="8" t="s">
        <v>188</v>
      </c>
      <c r="B38" s="8" t="s">
        <v>9</v>
      </c>
      <c r="C38" s="9" t="s">
        <v>189</v>
      </c>
      <c r="D38" s="9" t="s">
        <v>190</v>
      </c>
      <c r="E38" s="9" t="s">
        <v>191</v>
      </c>
      <c r="F38" s="9" t="s">
        <v>192</v>
      </c>
      <c r="G38" s="10" t="s">
        <v>193</v>
      </c>
      <c r="H38" s="10" t="s">
        <v>194</v>
      </c>
      <c r="I38" s="10" t="s">
        <v>195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33" r:id="rId20"/>
    <hyperlink ref="E34" r:id="rId21"/>
    <hyperlink ref="E35" r:id="rId22"/>
    <hyperlink ref="E36" r:id="rId23"/>
    <hyperlink ref="E37" r:id="rId24"/>
    <hyperlink ref="E38" r:id="rId25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0.7109375" customWidth="1"/>
    <col min="4" max="4" width="18.7109375" customWidth="1"/>
    <col min="5" max="5" width="19.7109375" customWidth="1"/>
    <col min="6" max="6" width="36.7109375" customWidth="1"/>
    <col min="7" max="7" width="60.7109375" customWidth="1"/>
    <col min="8" max="8" width="14.7109375" customWidth="1"/>
    <col min="9" max="9" width="15.7109375" customWidth="1"/>
  </cols>
  <sheetData>
    <row r="1" spans="1:9" ht="32" customHeight="1">
      <c r="A1" s="1" t="s">
        <v>196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197</v>
      </c>
      <c r="B2" s="3" t="s">
        <v>198</v>
      </c>
      <c r="C2" s="2" t="s">
        <v>206</v>
      </c>
      <c r="D2" s="3">
        <v>33</v>
      </c>
    </row>
    <row r="3" spans="1:9">
      <c r="A3" s="2" t="s">
        <v>199</v>
      </c>
      <c r="B3" s="3" t="s">
        <v>200</v>
      </c>
      <c r="C3" s="2" t="s">
        <v>207</v>
      </c>
      <c r="D3" s="3" t="s">
        <v>208</v>
      </c>
    </row>
    <row r="4" spans="1:9">
      <c r="A4" s="2" t="s">
        <v>201</v>
      </c>
      <c r="B4" s="3" t="s">
        <v>66</v>
      </c>
      <c r="C4" s="2" t="s">
        <v>209</v>
      </c>
      <c r="D4" s="3" t="s">
        <v>210</v>
      </c>
    </row>
    <row r="5" spans="1:9">
      <c r="A5" s="2" t="s">
        <v>202</v>
      </c>
      <c r="B5" s="3" t="s">
        <v>203</v>
      </c>
      <c r="C5" s="2" t="s">
        <v>211</v>
      </c>
      <c r="D5" s="3">
        <v>1</v>
      </c>
    </row>
    <row r="6" spans="1:9">
      <c r="A6" s="2" t="s">
        <v>204</v>
      </c>
      <c r="B6" s="3" t="s">
        <v>205</v>
      </c>
      <c r="C6" s="2" t="s">
        <v>212</v>
      </c>
      <c r="D6" s="3">
        <v>45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9</v>
      </c>
      <c r="C9" s="6" t="s">
        <v>213</v>
      </c>
      <c r="D9" s="6" t="s">
        <v>214</v>
      </c>
      <c r="E9" s="12" t="s">
        <v>131</v>
      </c>
      <c r="F9" s="6" t="s">
        <v>215</v>
      </c>
      <c r="G9" s="7" t="s">
        <v>216</v>
      </c>
      <c r="H9" s="12" t="s">
        <v>66</v>
      </c>
      <c r="I9" s="12" t="s">
        <v>66</v>
      </c>
    </row>
    <row r="10" spans="1:9" ht="30" customHeight="1">
      <c r="A10" s="8" t="s">
        <v>18</v>
      </c>
      <c r="B10" s="8" t="s">
        <v>9</v>
      </c>
      <c r="C10" s="9" t="s">
        <v>217</v>
      </c>
      <c r="D10" s="9" t="s">
        <v>218</v>
      </c>
      <c r="E10" s="11" t="s">
        <v>131</v>
      </c>
      <c r="F10" s="9" t="s">
        <v>219</v>
      </c>
      <c r="G10" s="10" t="s">
        <v>220</v>
      </c>
      <c r="H10" s="11" t="s">
        <v>66</v>
      </c>
      <c r="I10" s="11" t="s">
        <v>66</v>
      </c>
    </row>
    <row r="11" spans="1:9">
      <c r="A11" s="5" t="s">
        <v>25</v>
      </c>
      <c r="B11" s="5" t="s">
        <v>9</v>
      </c>
      <c r="C11" s="6" t="s">
        <v>221</v>
      </c>
      <c r="D11" s="12" t="s">
        <v>131</v>
      </c>
      <c r="E11" s="12" t="s">
        <v>131</v>
      </c>
      <c r="F11" s="6" t="s">
        <v>139</v>
      </c>
      <c r="G11" s="7" t="s">
        <v>133</v>
      </c>
      <c r="H11" s="12" t="s">
        <v>66</v>
      </c>
      <c r="I11" s="12" t="s">
        <v>66</v>
      </c>
    </row>
  </sheetData>
  <mergeCells count="1">
    <mergeCell ref="A1:I1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20.7109375" customWidth="1"/>
    <col min="2" max="2" width="25.7109375" customWidth="1"/>
    <col min="3" max="3" width="56.7109375" customWidth="1" outlineLevel="2"/>
    <col min="4" max="4" width="34.7109375" customWidth="1" outlineLevel="1"/>
    <col min="5" max="5" width="21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196</v>
      </c>
      <c r="B1" s="1"/>
      <c r="C1" s="1"/>
      <c r="D1" s="1"/>
      <c r="E1" s="1"/>
      <c r="F1" s="1"/>
      <c r="G1" s="1"/>
      <c r="H1" s="1"/>
    </row>
    <row r="2" spans="1:14">
      <c r="A2" s="2" t="s">
        <v>197</v>
      </c>
      <c r="B2" s="3" t="s">
        <v>198</v>
      </c>
      <c r="G2" s="13" t="s">
        <v>236</v>
      </c>
      <c r="H2" s="13">
        <v>1</v>
      </c>
    </row>
    <row r="3" spans="1:14">
      <c r="A3" s="2" t="s">
        <v>199</v>
      </c>
      <c r="B3" s="3" t="s">
        <v>200</v>
      </c>
      <c r="G3" s="14" t="s">
        <v>238</v>
      </c>
      <c r="H3" s="15">
        <f>TotalCost/BoardQty</f>
        <v>0.0</v>
      </c>
    </row>
    <row r="4" spans="1:14">
      <c r="A4" s="2" t="s">
        <v>201</v>
      </c>
      <c r="B4" s="3" t="s">
        <v>66</v>
      </c>
      <c r="G4" s="14" t="s">
        <v>237</v>
      </c>
      <c r="H4" s="16">
        <f>SUM(H10:H39)</f>
        <v>0</v>
      </c>
      <c r="M4" s="16">
        <f>SUM(M10:M39)</f>
        <v>0</v>
      </c>
      <c r="N4" s="17" t="str">
        <f>(COUNTA(M10:M39)&amp;" of "&amp;ROWS(M10:M39)&amp;" parts found")</f>
        <v>0 of 30 parts found</v>
      </c>
    </row>
    <row r="5" spans="1:14">
      <c r="A5" s="2" t="s">
        <v>202</v>
      </c>
      <c r="B5" s="3" t="s">
        <v>203</v>
      </c>
    </row>
    <row r="6" spans="1:14">
      <c r="A6" s="2" t="s">
        <v>204</v>
      </c>
      <c r="B6" s="3" t="s">
        <v>205</v>
      </c>
    </row>
    <row r="8" spans="1:14">
      <c r="A8" s="18" t="s">
        <v>222</v>
      </c>
      <c r="B8" s="18"/>
      <c r="C8" s="18"/>
      <c r="D8" s="18"/>
      <c r="E8" s="18"/>
      <c r="F8" s="18"/>
      <c r="G8" s="18"/>
      <c r="H8" s="18"/>
      <c r="I8" s="19" t="s">
        <v>228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223</v>
      </c>
      <c r="E9" s="20" t="s">
        <v>224</v>
      </c>
      <c r="F9" s="20" t="s">
        <v>225</v>
      </c>
      <c r="G9" s="20" t="s">
        <v>226</v>
      </c>
      <c r="H9" s="20" t="s">
        <v>227</v>
      </c>
      <c r="I9" s="20" t="s">
        <v>229</v>
      </c>
      <c r="J9" s="20" t="s">
        <v>230</v>
      </c>
      <c r="K9" s="20" t="s">
        <v>226</v>
      </c>
      <c r="L9" s="20" t="s">
        <v>231</v>
      </c>
      <c r="M9" s="20" t="s">
        <v>227</v>
      </c>
      <c r="N9" s="20" t="s">
        <v>232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22</v>
      </c>
      <c r="D11" s="21" t="s">
        <v>23</v>
      </c>
      <c r="E11" s="21" t="s">
        <v>24</v>
      </c>
      <c r="F11" s="21">
        <f>CEILING(BoardQty*2,1)</f>
        <v>2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26</v>
      </c>
      <c r="B12" s="21" t="s">
        <v>20</v>
      </c>
      <c r="C12" s="21" t="s">
        <v>14</v>
      </c>
      <c r="D12" s="21" t="s">
        <v>23</v>
      </c>
      <c r="E12" s="21" t="s">
        <v>27</v>
      </c>
      <c r="F12" s="21">
        <f>CEILING(BoardQty*4,1)</f>
        <v>4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22</v>
      </c>
      <c r="D13" s="21" t="s">
        <v>23</v>
      </c>
      <c r="E13" s="21" t="s">
        <v>30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32</v>
      </c>
      <c r="B14" s="21" t="s">
        <v>33</v>
      </c>
      <c r="C14" s="21" t="s">
        <v>22</v>
      </c>
      <c r="D14" s="21" t="s">
        <v>35</v>
      </c>
      <c r="E14" s="21" t="s">
        <v>36</v>
      </c>
      <c r="F14" s="21">
        <f>CEILING(BoardQty*3,1)</f>
        <v>3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14</v>
      </c>
      <c r="D15" s="21" t="s">
        <v>35</v>
      </c>
      <c r="E15" s="21" t="s">
        <v>40</v>
      </c>
      <c r="F15" s="21">
        <f>CEILING(BoardQty*2,1)</f>
        <v>2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42</v>
      </c>
      <c r="B16" s="21" t="s">
        <v>43</v>
      </c>
      <c r="C16" s="21" t="s">
        <v>14</v>
      </c>
      <c r="D16" s="21" t="s">
        <v>35</v>
      </c>
      <c r="E16" s="21" t="s">
        <v>45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47</v>
      </c>
      <c r="B17" s="21" t="s">
        <v>48</v>
      </c>
      <c r="C17" s="21" t="s">
        <v>50</v>
      </c>
      <c r="D17" s="21" t="s">
        <v>52</v>
      </c>
      <c r="E17" s="21" t="s">
        <v>53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55</v>
      </c>
      <c r="B18" s="21" t="s">
        <v>56</v>
      </c>
      <c r="C18" s="21" t="s">
        <v>58</v>
      </c>
      <c r="D18" s="21" t="s">
        <v>60</v>
      </c>
      <c r="E18" s="21" t="s">
        <v>56</v>
      </c>
      <c r="F18" s="21">
        <f>CEILING(BoardQty*2,1)</f>
        <v>2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67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82</v>
      </c>
      <c r="B22" s="21" t="s">
        <v>83</v>
      </c>
      <c r="C22" s="21" t="s">
        <v>85</v>
      </c>
      <c r="D22" s="21" t="s">
        <v>87</v>
      </c>
      <c r="E22" s="21" t="s">
        <v>88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90</v>
      </c>
      <c r="B23" s="21" t="s">
        <v>91</v>
      </c>
      <c r="C23" s="21" t="s">
        <v>85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103</v>
      </c>
      <c r="B25" s="21" t="s">
        <v>20</v>
      </c>
      <c r="C25" s="21" t="s">
        <v>105</v>
      </c>
      <c r="D25" s="21" t="s">
        <v>107</v>
      </c>
      <c r="E25" s="21" t="s">
        <v>108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110</v>
      </c>
      <c r="B26" s="21" t="s">
        <v>111</v>
      </c>
      <c r="C26" s="21" t="s">
        <v>111</v>
      </c>
      <c r="D26" s="21" t="s">
        <v>113</v>
      </c>
      <c r="E26" s="21" t="s">
        <v>114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116</v>
      </c>
      <c r="B27" s="21" t="s">
        <v>117</v>
      </c>
      <c r="C27" s="21" t="s">
        <v>117</v>
      </c>
      <c r="D27" s="21" t="s">
        <v>120</v>
      </c>
      <c r="E27" s="21" t="s">
        <v>117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122</v>
      </c>
      <c r="B28" s="21" t="s">
        <v>123</v>
      </c>
      <c r="C28" s="21" t="s">
        <v>125</v>
      </c>
      <c r="D28" s="21" t="s">
        <v>127</v>
      </c>
      <c r="E28" s="21" t="s">
        <v>123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129</v>
      </c>
      <c r="B29" s="21" t="s">
        <v>130</v>
      </c>
      <c r="C29" s="21" t="s">
        <v>132</v>
      </c>
      <c r="D29" s="21" t="s">
        <v>134</v>
      </c>
      <c r="E29" s="21" t="s">
        <v>135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137</v>
      </c>
      <c r="B30" s="21" t="s">
        <v>138</v>
      </c>
      <c r="C30" s="21" t="s">
        <v>139</v>
      </c>
      <c r="D30" s="21" t="s">
        <v>140</v>
      </c>
      <c r="E30" s="21" t="s">
        <v>141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143</v>
      </c>
      <c r="B31" s="21" t="s">
        <v>144</v>
      </c>
      <c r="C31" s="21" t="s">
        <v>139</v>
      </c>
      <c r="D31" s="21" t="s">
        <v>145</v>
      </c>
      <c r="E31" s="21" t="s">
        <v>146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148</v>
      </c>
      <c r="B32" s="21" t="s">
        <v>149</v>
      </c>
      <c r="C32" s="21" t="s">
        <v>139</v>
      </c>
      <c r="D32" s="21" t="s">
        <v>140</v>
      </c>
      <c r="E32" s="21" t="s">
        <v>150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152</v>
      </c>
      <c r="B33" s="21" t="s">
        <v>153</v>
      </c>
      <c r="C33" s="21" t="s">
        <v>139</v>
      </c>
      <c r="D33" s="21" t="s">
        <v>140</v>
      </c>
      <c r="E33" s="21" t="s">
        <v>154</v>
      </c>
      <c r="F33" s="21">
        <f>CEILING(BoardQty*4,1)</f>
        <v>4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156</v>
      </c>
      <c r="B34" s="21" t="s">
        <v>157</v>
      </c>
      <c r="C34" s="21" t="s">
        <v>159</v>
      </c>
      <c r="D34" s="21" t="s">
        <v>161</v>
      </c>
      <c r="E34" s="21" t="s">
        <v>162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164</v>
      </c>
      <c r="B35" s="21" t="s">
        <v>165</v>
      </c>
      <c r="C35" s="21" t="s">
        <v>159</v>
      </c>
      <c r="D35" s="21" t="s">
        <v>161</v>
      </c>
      <c r="E35" s="21" t="s">
        <v>162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167</v>
      </c>
      <c r="B36" s="21" t="s">
        <v>168</v>
      </c>
      <c r="C36" s="21" t="s">
        <v>170</v>
      </c>
      <c r="D36" s="21" t="s">
        <v>172</v>
      </c>
      <c r="E36" s="21" t="s">
        <v>170</v>
      </c>
      <c r="F36" s="21">
        <f>BoardQty*1</f>
        <v>1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174</v>
      </c>
      <c r="B37" s="21" t="s">
        <v>175</v>
      </c>
      <c r="C37" s="21" t="s">
        <v>177</v>
      </c>
      <c r="D37" s="21" t="s">
        <v>179</v>
      </c>
      <c r="E37" s="21" t="s">
        <v>180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182</v>
      </c>
      <c r="B38" s="21" t="s">
        <v>183</v>
      </c>
      <c r="C38" s="21" t="s">
        <v>185</v>
      </c>
      <c r="D38" s="21" t="s">
        <v>161</v>
      </c>
      <c r="E38" s="21" t="s">
        <v>187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189</v>
      </c>
      <c r="B39" s="21" t="s">
        <v>190</v>
      </c>
      <c r="C39" s="21" t="s">
        <v>192</v>
      </c>
      <c r="D39" s="21" t="s">
        <v>194</v>
      </c>
      <c r="E39" s="21" t="s">
        <v>195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1" spans="1:13">
      <c r="G41" s="14" t="s">
        <v>234</v>
      </c>
      <c r="H41" s="16">
        <f>SUM(M41)</f>
        <v>0</v>
      </c>
      <c r="I41" s="24" t="s">
        <v>233</v>
      </c>
      <c r="J41" s="17">
        <f>IFERROR(IF(COUNTIF(J10:J39,"&gt;0")&gt;0,COUNTIF(J10:J39,"&gt;0")&amp;" of "&amp;(ROWS(L10:L39)-COUNTBLANK(L10:L39))&amp;" parts purchased",""),"")</f>
        <v/>
      </c>
      <c r="M41" s="16">
        <f>SUMIF(J10:J39,"&gt;0",M10:M39)</f>
        <v>0</v>
      </c>
    </row>
    <row r="42" spans="1:13">
      <c r="A42" s="25" t="s">
        <v>239</v>
      </c>
      <c r="B42" s="26" t="s">
        <v>240</v>
      </c>
      <c r="G42" s="27" t="s">
        <v>235</v>
      </c>
      <c r="J42" s="28">
        <f>CONCATENATE(J73,J74,J75,J76,J77,J78,J79,J80,J81,J82,J83,J84,J85,J86,J87,J88,J89,J90,J91,J92,J93,J94,J95,J96,J97,J98,J99,J100,J101,J102)</f>
        <v/>
      </c>
    </row>
    <row r="43" spans="1:13">
      <c r="A43" s="29" t="s">
        <v>241</v>
      </c>
    </row>
    <row r="73" spans="10:10" ht="30" hidden="1" customHeight="1">
      <c r="J73" t="str">
        <f t="array" ref="J73:J102">IF(ISNUMBER(J10:J39)*(J10:J39&gt;=L10:L39)*(N10:N39&lt;&gt;""),N10:N39&amp;"|"&amp;TEXT(ROUNDUP(J10:J39/IF(ISNUMBER(L10:L39),L10:L39,1),0)*L10:L39,"##0")&amp;"|"&amp;SUBSTITUTE(SUBSTITUTE(SUBSTITUTE(IF(PURCHASE_DESCRIPTION&lt;&gt;"",PURCHASE_DESCRIPTION&amp;":","")&amp;A10:A39,"|",";")," ","_"),"
","_")&amp;CHAR(10),"")</f>
        <v/>
      </c>
    </row>
    <row r="74" spans="10:10" ht="30" hidden="1" customHeight="1">
      <c r="J74">
        <v>0</v>
      </c>
    </row>
    <row r="75" spans="10:10" ht="30" hidden="1" customHeight="1">
      <c r="J75">
        <v>0</v>
      </c>
    </row>
    <row r="76" spans="10:10" ht="30" hidden="1" customHeight="1">
      <c r="J76">
        <v>0</v>
      </c>
    </row>
    <row r="77" spans="10:10" ht="30" hidden="1" customHeight="1">
      <c r="J77">
        <v>0</v>
      </c>
    </row>
    <row r="78" spans="10:10" ht="30" hidden="1" customHeight="1">
      <c r="J78">
        <v>0</v>
      </c>
    </row>
    <row r="79" spans="10:10" ht="30" hidden="1" customHeight="1">
      <c r="J79">
        <v>0</v>
      </c>
    </row>
    <row r="80" spans="10:10" ht="30" hidden="1" customHeight="1">
      <c r="J80">
        <v>0</v>
      </c>
    </row>
    <row r="81" spans="10:10" ht="30" hidden="1" customHeight="1">
      <c r="J81">
        <v>0</v>
      </c>
    </row>
    <row r="82" spans="10:10" ht="30" hidden="1" customHeight="1">
      <c r="J82">
        <v>0</v>
      </c>
    </row>
    <row r="83" spans="10:10" ht="30" hidden="1" customHeight="1">
      <c r="J83">
        <v>0</v>
      </c>
    </row>
    <row r="84" spans="10:10" ht="30" hidden="1" customHeight="1">
      <c r="J84">
        <v>0</v>
      </c>
    </row>
    <row r="85" spans="10:10" ht="30" hidden="1" customHeight="1">
      <c r="J85">
        <v>0</v>
      </c>
    </row>
    <row r="86" spans="10:10" ht="30" hidden="1" customHeight="1">
      <c r="J86">
        <v>0</v>
      </c>
    </row>
    <row r="87" spans="10:10" ht="30" hidden="1" customHeight="1">
      <c r="J87">
        <v>0</v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</sheetData>
  <mergeCells count="4">
    <mergeCell ref="A8:H8"/>
    <mergeCell ref="I8:N8"/>
    <mergeCell ref="J42:M72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34" r:id="rId20"/>
    <hyperlink ref="E35" r:id="rId21"/>
    <hyperlink ref="E36" r:id="rId22"/>
    <hyperlink ref="E37" r:id="rId23"/>
    <hyperlink ref="E38" r:id="rId24"/>
    <hyperlink ref="E39" r:id="rId25"/>
    <hyperlink ref="I41" r:id="rId26"/>
  </hyperlinks>
  <pageMargins left="0.7" right="0.7" top="0.75" bottom="0.75" header="0.3" footer="0.3"/>
  <legacyDrawing r:id="rId27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xSplit="7" ySplit="9" topLeftCell="H10" activePane="bottomRight" state="frozen"/>
      <selection pane="topRight" activeCell="H1" sqref="H1"/>
      <selection pane="bottomLeft" activeCell="A10" sqref="A10"/>
      <selection pane="bottomRight"/>
    </sheetView>
  </sheetViews>
  <sheetFormatPr defaultRowHeight="15" outlineLevelCol="3"/>
  <cols>
    <col min="1" max="1" width="16.7109375" customWidth="1"/>
    <col min="2" max="2" width="25.7109375" customWidth="1"/>
    <col min="3" max="3" width="32.7109375" customWidth="1" outlineLevel="2"/>
    <col min="4" max="4" width="9.140625" outlineLevel="1"/>
    <col min="5" max="5" width="17.7109375" customWidth="1" outlineLevel="1"/>
    <col min="6" max="6" width="22.7109375" customWidth="1"/>
    <col min="7" max="7" width="16.7109375" customWidth="1"/>
    <col min="8" max="8" width="9.7109375" customWidth="1" outlineLevel="1"/>
    <col min="9" max="9" width="9.140625" outlineLevel="2"/>
    <col min="10" max="10" width="10.7109375" customWidth="1" outlineLevel="2"/>
    <col min="11" max="11" width="0" hidden="1" customWidth="1" outlineLevel="3" collapsed="1"/>
    <col min="12" max="12" width="16.7109375" customWidth="1"/>
    <col min="13" max="13" width="16.7109375" customWidth="1" outlineLevel="2"/>
  </cols>
  <sheetData>
    <row r="1" spans="1:13" ht="32" customHeight="1">
      <c r="A1" s="1" t="s">
        <v>196</v>
      </c>
      <c r="B1" s="1"/>
      <c r="C1" s="1"/>
      <c r="D1" s="1"/>
      <c r="E1" s="1"/>
      <c r="F1" s="1"/>
      <c r="G1" s="1"/>
    </row>
    <row r="2" spans="1:13">
      <c r="A2" s="2" t="s">
        <v>197</v>
      </c>
      <c r="B2" s="3" t="s">
        <v>198</v>
      </c>
      <c r="F2" s="13" t="s">
        <v>236</v>
      </c>
      <c r="G2" s="13">
        <v>1</v>
      </c>
    </row>
    <row r="3" spans="1:13">
      <c r="A3" s="2" t="s">
        <v>199</v>
      </c>
      <c r="B3" s="3" t="s">
        <v>200</v>
      </c>
      <c r="F3" s="14" t="s">
        <v>238</v>
      </c>
      <c r="G3" s="15">
        <f>TotalCost/BoardQty</f>
        <v>0.0</v>
      </c>
    </row>
    <row r="4" spans="1:13">
      <c r="A4" s="2" t="s">
        <v>201</v>
      </c>
      <c r="B4" s="3" t="s">
        <v>66</v>
      </c>
      <c r="F4" s="14" t="s">
        <v>237</v>
      </c>
      <c r="G4" s="16">
        <f>SUM(G10:G12)</f>
        <v>0</v>
      </c>
      <c r="L4" s="16">
        <f>SUM(L10:L12)</f>
        <v>0</v>
      </c>
      <c r="M4" s="17" t="str">
        <f>(COUNTA(L10:L12)&amp;" of "&amp;ROWS(L10:L12)&amp;" parts found")</f>
        <v>0 of 3 parts found</v>
      </c>
    </row>
    <row r="5" spans="1:13">
      <c r="A5" s="2" t="s">
        <v>202</v>
      </c>
      <c r="B5" s="3" t="s">
        <v>203</v>
      </c>
    </row>
    <row r="6" spans="1:13">
      <c r="A6" s="2" t="s">
        <v>204</v>
      </c>
      <c r="B6" s="3" t="s">
        <v>205</v>
      </c>
    </row>
    <row r="8" spans="1:13">
      <c r="A8" s="18" t="s">
        <v>222</v>
      </c>
      <c r="B8" s="18"/>
      <c r="C8" s="18"/>
      <c r="D8" s="18"/>
      <c r="E8" s="18"/>
      <c r="F8" s="18"/>
      <c r="G8" s="18"/>
      <c r="H8" s="19" t="s">
        <v>228</v>
      </c>
      <c r="I8" s="19"/>
      <c r="J8" s="19"/>
      <c r="K8" s="19"/>
      <c r="L8" s="19"/>
      <c r="M8" s="19"/>
    </row>
    <row r="9" spans="1:13">
      <c r="A9" s="20" t="s">
        <v>2</v>
      </c>
      <c r="B9" s="20" t="s">
        <v>3</v>
      </c>
      <c r="C9" s="20" t="s">
        <v>5</v>
      </c>
      <c r="D9" s="20" t="s">
        <v>224</v>
      </c>
      <c r="E9" s="20" t="s">
        <v>225</v>
      </c>
      <c r="F9" s="20" t="s">
        <v>226</v>
      </c>
      <c r="G9" s="20" t="s">
        <v>227</v>
      </c>
      <c r="H9" s="20" t="s">
        <v>229</v>
      </c>
      <c r="I9" s="20" t="s">
        <v>230</v>
      </c>
      <c r="J9" s="20" t="s">
        <v>226</v>
      </c>
      <c r="K9" s="20" t="s">
        <v>231</v>
      </c>
      <c r="L9" s="20" t="s">
        <v>227</v>
      </c>
      <c r="M9" s="20" t="s">
        <v>232</v>
      </c>
    </row>
    <row r="10" spans="1:13">
      <c r="A10" s="21" t="s">
        <v>213</v>
      </c>
      <c r="B10" s="21" t="s">
        <v>214</v>
      </c>
      <c r="C10" s="21" t="s">
        <v>215</v>
      </c>
      <c r="E10" s="21">
        <f>BoardQty*1</f>
        <v>1</v>
      </c>
      <c r="F10" s="22">
        <f>IF(MIN(J10)&lt;&gt;0,MIN(J10),"")</f>
        <v/>
      </c>
      <c r="G10" s="23">
        <f>IF(AND(ISNUMBER(E10),ISNUMBER(F10)),E10*F10,"")</f>
        <v/>
      </c>
    </row>
    <row r="11" spans="1:13">
      <c r="A11" s="21" t="s">
        <v>217</v>
      </c>
      <c r="B11" s="21" t="s">
        <v>218</v>
      </c>
      <c r="C11" s="21" t="s">
        <v>219</v>
      </c>
      <c r="E11" s="21">
        <f>BoardQty*1</f>
        <v>1</v>
      </c>
      <c r="F11" s="22">
        <f>IF(MIN(J11)&lt;&gt;0,MIN(J11),"")</f>
        <v/>
      </c>
      <c r="G11" s="23">
        <f>IF(AND(ISNUMBER(E11),ISNUMBER(F11)),E11*F11,"")</f>
        <v/>
      </c>
    </row>
    <row r="12" spans="1:13">
      <c r="A12" s="21" t="s">
        <v>221</v>
      </c>
      <c r="B12" s="21" t="s">
        <v>131</v>
      </c>
      <c r="C12" s="21" t="s">
        <v>139</v>
      </c>
      <c r="E12" s="21">
        <f>BoardQty*1</f>
        <v>1</v>
      </c>
      <c r="F12" s="22">
        <f>IF(MIN(J12)&lt;&gt;0,MIN(J12),"")</f>
        <v/>
      </c>
      <c r="G12" s="23">
        <f>IF(AND(ISNUMBER(E12),ISNUMBER(F12)),E12*F12,"")</f>
        <v/>
      </c>
    </row>
    <row r="14" spans="1:13">
      <c r="F14" s="14" t="s">
        <v>234</v>
      </c>
      <c r="G14" s="16">
        <f>SUM(L14)</f>
        <v>0</v>
      </c>
      <c r="H14" s="24" t="s">
        <v>233</v>
      </c>
      <c r="I14" s="17">
        <f>IFERROR(IF(COUNTIF(I10:I12,"&gt;0")&gt;0,COUNTIF(I10:I12,"&gt;0")&amp;" of "&amp;(ROWS(K10:K12)-COUNTBLANK(K10:K12))&amp;" parts purchased",""),"")</f>
        <v/>
      </c>
      <c r="L14" s="16">
        <f>SUMIF(I10:I12,"&gt;0",L10:L12)</f>
        <v>0</v>
      </c>
    </row>
    <row r="15" spans="1:13">
      <c r="A15" s="25" t="s">
        <v>239</v>
      </c>
      <c r="B15" s="26" t="s">
        <v>240</v>
      </c>
      <c r="F15" s="27" t="s">
        <v>235</v>
      </c>
      <c r="I15" s="28">
        <f>CONCATENATE(I19,I20,I21)</f>
        <v/>
      </c>
    </row>
    <row r="16" spans="1:13">
      <c r="A16" s="29" t="s">
        <v>241</v>
      </c>
    </row>
    <row r="19" spans="9:9" ht="30" hidden="1" customHeight="1">
      <c r="I19" t="str">
        <f t="array" ref="I19:I21">IF(ISNUMBER(I10:I12)*(I10:I12&gt;=K10:K12)*(M10:M12&lt;&gt;""),M10:M12&amp;"|"&amp;TEXT(ROUNDUP(I10:I12/IF(ISNUMBER(K10:K12),K10:K12,1),0)*K10:K12,"##0")&amp;"|"&amp;SUBSTITUTE(SUBSTITUTE(SUBSTITUTE(IF(PURCHASE_DESCRIPTION&lt;&gt;"",PURCHASE_DESCRIPTION&amp;":","")&amp;A10:A12,"|",";")," ","_"),"
","_")&amp;CHAR(10),"")</f>
        <v/>
      </c>
    </row>
    <row r="20" spans="9:9" ht="30" hidden="1" customHeight="1">
      <c r="I20">
        <v>0</v>
      </c>
    </row>
    <row r="21" spans="9:9" ht="30" hidden="1" customHeight="1">
      <c r="I21">
        <v>0</v>
      </c>
    </row>
  </sheetData>
  <mergeCells count="4">
    <mergeCell ref="A8:G8"/>
    <mergeCell ref="H8:M8"/>
    <mergeCell ref="I15:L18"/>
    <mergeCell ref="A1:G1"/>
  </mergeCells>
  <conditionalFormatting sqref="E10">
    <cfRule type="expression" dxfId="0" priority="1">
      <formula>AND(ISBLANK(D10),ISBLANK(L10))</formula>
    </cfRule>
    <cfRule type="expression" dxfId="1" priority="2">
      <formula>IF(SUM(H10)=0,1,0)</formula>
    </cfRule>
    <cfRule type="cellIs" dxfId="2" priority="3" operator="greaterThan">
      <formula>SUM(H10)</formula>
    </cfRule>
    <cfRule type="cellIs" dxfId="3" priority="4" operator="greaterThan">
      <formula>SUM(IF(ISNUMBER(J10),I10,0))</formula>
    </cfRule>
  </conditionalFormatting>
  <conditionalFormatting sqref="E11">
    <cfRule type="expression" dxfId="0" priority="5">
      <formula>AND(ISBLANK(D11),ISBLANK(L11))</formula>
    </cfRule>
    <cfRule type="expression" dxfId="1" priority="6">
      <formula>IF(SUM(H11)=0,1,0)</formula>
    </cfRule>
    <cfRule type="cellIs" dxfId="2" priority="7" operator="greaterThan">
      <formula>SUM(H11)</formula>
    </cfRule>
    <cfRule type="cellIs" dxfId="3" priority="8" operator="greaterThan">
      <formula>SUM(IF(ISNUMBER(J11),I11,0))</formula>
    </cfRule>
  </conditionalFormatting>
  <conditionalFormatting sqref="E12">
    <cfRule type="expression" dxfId="0" priority="9">
      <formula>AND(ISBLANK(D12),ISBLANK(L12))</formula>
    </cfRule>
    <cfRule type="expression" dxfId="1" priority="10">
      <formula>IF(SUM(H12)=0,1,0)</formula>
    </cfRule>
    <cfRule type="cellIs" dxfId="2" priority="11" operator="greaterThan">
      <formula>SUM(H12)</formula>
    </cfRule>
    <cfRule type="cellIs" dxfId="3" priority="12" operator="greaterThan">
      <formula>SUM(IF(ISNUMBER(J12),I12,0))</formula>
    </cfRule>
  </conditionalFormatting>
  <hyperlinks>
    <hyperlink ref="H14" r:id="rId1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242</v>
      </c>
    </row>
    <row r="2" spans="1:1">
      <c r="A2" s="6" t="s">
        <v>243</v>
      </c>
    </row>
    <row r="3" spans="1:1">
      <c r="A3" s="5" t="s">
        <v>244</v>
      </c>
    </row>
    <row r="4" spans="1:1">
      <c r="A4" s="7" t="s">
        <v>245</v>
      </c>
    </row>
    <row r="5" spans="1:1">
      <c r="A5" s="12" t="s">
        <v>246</v>
      </c>
    </row>
    <row r="7" spans="1:1">
      <c r="A7" t="s">
        <v>247</v>
      </c>
    </row>
    <row r="8" spans="1:1">
      <c r="A8" s="30" t="s">
        <v>248</v>
      </c>
    </row>
    <row r="9" spans="1:1">
      <c r="A9" s="31" t="s">
        <v>249</v>
      </c>
    </row>
    <row r="10" spans="1:1">
      <c r="A10" s="32" t="s">
        <v>250</v>
      </c>
    </row>
    <row r="11" spans="1:1">
      <c r="A11" s="33" t="s">
        <v>251</v>
      </c>
    </row>
    <row r="12" spans="1:1">
      <c r="A12" s="34" t="s">
        <v>252</v>
      </c>
    </row>
    <row r="13" spans="1:1">
      <c r="A13" s="35" t="s">
        <v>253</v>
      </c>
    </row>
    <row r="14" spans="1:1">
      <c r="A14" s="36" t="s">
        <v>254</v>
      </c>
    </row>
    <row r="15" spans="1:1">
      <c r="A15" s="37" t="s">
        <v>255</v>
      </c>
    </row>
    <row r="16" spans="1:1">
      <c r="A16" s="38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BoM</vt:lpstr>
      <vt:lpstr>DNF</vt:lpstr>
      <vt:lpstr>Costs</vt:lpstr>
      <vt:lpstr>Costs (DNF)</vt:lpstr>
      <vt:lpstr>Colors</vt:lpstr>
      <vt:lpstr>'Costs (DNF)'!BoardQty</vt:lpstr>
      <vt:lpstr>'Costs'!BoardQty</vt:lpstr>
      <vt:lpstr>BoM!Print_Titles</vt:lpstr>
      <vt:lpstr>DNF!Print_Titles</vt:lpstr>
      <vt:lpstr>'Costs (DNF)'!PURCHASE_DESCRIPTION</vt:lpstr>
      <vt:lpstr>'Costs'!PURCHASE_DESCRIPTION</vt:lpstr>
      <vt:lpstr>'Costs (DNF)'!TotalCost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2025-09-06T09:58:40Z</dcterms:created>
  <dcterms:modified xsi:type="dcterms:W3CDTF">2025-09-06T09:58:40Z</dcterms:modified>
</cp:coreProperties>
</file>